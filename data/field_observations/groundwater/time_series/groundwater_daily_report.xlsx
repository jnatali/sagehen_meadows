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SANDISK_SSD_G40/GoogleDrive/GitHub/sagehen_meadows/data/field_observations/groundwater/time_series/"/>
    </mc:Choice>
  </mc:AlternateContent>
  <xr:revisionPtr revIDLastSave="0" documentId="13_ncr:9_{9B8CD71C-F559-CA42-806C-35D2AD91FFEC}" xr6:coauthVersionLast="47" xr6:coauthVersionMax="47" xr10:uidLastSave="{00000000-0000-0000-0000-000000000000}"/>
  <bookViews>
    <workbookView xWindow="-22740" yWindow="2160" windowWidth="23040" windowHeight="36000" xr2:uid="{5F7770C5-ED52-E340-B584-9AA0A7591812}"/>
  </bookViews>
  <sheets>
    <sheet name="groundwater_daily_re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3" i="1" l="1"/>
  <c r="O12" i="1"/>
  <c r="O11" i="1"/>
  <c r="O10" i="1"/>
  <c r="O9" i="1"/>
  <c r="O8" i="1"/>
  <c r="O7" i="1"/>
  <c r="O6" i="1"/>
  <c r="O5" i="1"/>
  <c r="O4" i="1"/>
  <c r="O3" i="1"/>
  <c r="O2" i="1"/>
  <c r="P13" i="1"/>
  <c r="P12" i="1"/>
  <c r="P11" i="1"/>
  <c r="P10" i="1"/>
  <c r="P9" i="1"/>
  <c r="P8" i="1"/>
  <c r="P7" i="1"/>
  <c r="P6" i="1"/>
  <c r="P5" i="1"/>
  <c r="P4" i="1"/>
  <c r="P3" i="1"/>
  <c r="P2" i="1"/>
  <c r="Q13" i="1"/>
  <c r="Q12" i="1"/>
  <c r="Q11" i="1"/>
  <c r="Q10" i="1"/>
  <c r="Q9" i="1"/>
  <c r="Q8" i="1"/>
  <c r="Q7" i="1"/>
  <c r="Q6" i="1"/>
  <c r="Q5" i="1"/>
  <c r="Q4" i="1"/>
  <c r="Q3" i="1"/>
  <c r="Q2" i="1"/>
  <c r="O16" i="1"/>
  <c r="N10" i="1"/>
  <c r="N9" i="1"/>
  <c r="N8" i="1"/>
  <c r="N7" i="1"/>
  <c r="N6" i="1"/>
  <c r="N5" i="1"/>
  <c r="N4" i="1"/>
  <c r="N3" i="1"/>
  <c r="N2" i="1"/>
  <c r="J66" i="1"/>
  <c r="N13" i="1"/>
  <c r="N12" i="1"/>
  <c r="N11" i="1"/>
  <c r="B62" i="1"/>
  <c r="C62" i="1"/>
  <c r="D62" i="1"/>
  <c r="E62" i="1"/>
  <c r="F62" i="1"/>
  <c r="G62" i="1"/>
  <c r="J7" i="1"/>
  <c r="J6" i="1"/>
  <c r="J4" i="1"/>
  <c r="J3" i="1"/>
  <c r="J5" i="1"/>
  <c r="J14" i="1"/>
  <c r="J12" i="1"/>
  <c r="J15" i="1"/>
  <c r="J16" i="1"/>
  <c r="J11" i="1"/>
  <c r="J25" i="1"/>
  <c r="J37" i="1"/>
  <c r="J9" i="1"/>
  <c r="J8" i="1"/>
  <c r="J36" i="1"/>
  <c r="J26" i="1"/>
  <c r="J39" i="1"/>
  <c r="J38" i="1"/>
  <c r="J23" i="1"/>
  <c r="J40" i="1"/>
  <c r="J41" i="1"/>
  <c r="J13" i="1"/>
  <c r="J45" i="1"/>
  <c r="J49" i="1"/>
  <c r="J27" i="1"/>
  <c r="J10" i="1"/>
  <c r="J29" i="1"/>
  <c r="J21" i="1"/>
  <c r="J30" i="1"/>
  <c r="J28" i="1"/>
  <c r="J24" i="1"/>
  <c r="J31" i="1"/>
  <c r="J32" i="1"/>
  <c r="J53" i="1"/>
  <c r="J48" i="1"/>
  <c r="J33" i="1"/>
  <c r="J34" i="1"/>
  <c r="J35" i="1"/>
  <c r="J42" i="1"/>
  <c r="J43" i="1"/>
  <c r="J52" i="1"/>
  <c r="J44" i="1"/>
  <c r="J54" i="1"/>
  <c r="J59" i="1"/>
  <c r="J46" i="1"/>
  <c r="J55" i="1"/>
  <c r="J22" i="1"/>
  <c r="J56" i="1"/>
  <c r="J20" i="1"/>
  <c r="J60" i="1"/>
  <c r="J47" i="1"/>
  <c r="J50" i="1"/>
  <c r="J51" i="1"/>
  <c r="J58" i="1"/>
  <c r="J17" i="1"/>
  <c r="J18" i="1"/>
  <c r="J19" i="1"/>
  <c r="J57" i="1"/>
  <c r="J2" i="1"/>
  <c r="H7" i="1"/>
  <c r="H6" i="1"/>
  <c r="H4" i="1"/>
  <c r="H3" i="1"/>
  <c r="H5" i="1"/>
  <c r="H14" i="1"/>
  <c r="H12" i="1"/>
  <c r="H15" i="1"/>
  <c r="H16" i="1"/>
  <c r="H11" i="1"/>
  <c r="H25" i="1"/>
  <c r="H37" i="1"/>
  <c r="H9" i="1"/>
  <c r="H8" i="1"/>
  <c r="H36" i="1"/>
  <c r="H26" i="1"/>
  <c r="H39" i="1"/>
  <c r="H38" i="1"/>
  <c r="H23" i="1"/>
  <c r="H40" i="1"/>
  <c r="H41" i="1"/>
  <c r="H13" i="1"/>
  <c r="H45" i="1"/>
  <c r="H49" i="1"/>
  <c r="H27" i="1"/>
  <c r="H10" i="1"/>
  <c r="H29" i="1"/>
  <c r="H21" i="1"/>
  <c r="H30" i="1"/>
  <c r="H28" i="1"/>
  <c r="H24" i="1"/>
  <c r="H31" i="1"/>
  <c r="H32" i="1"/>
  <c r="H53" i="1"/>
  <c r="H48" i="1"/>
  <c r="H33" i="1"/>
  <c r="H34" i="1"/>
  <c r="H35" i="1"/>
  <c r="H42" i="1"/>
  <c r="H43" i="1"/>
  <c r="H52" i="1"/>
  <c r="H44" i="1"/>
  <c r="H54" i="1"/>
  <c r="H59" i="1"/>
  <c r="H46" i="1"/>
  <c r="H55" i="1"/>
  <c r="H22" i="1"/>
  <c r="H56" i="1"/>
  <c r="H20" i="1"/>
  <c r="H60" i="1"/>
  <c r="H47" i="1"/>
  <c r="H50" i="1"/>
  <c r="H51" i="1"/>
  <c r="H58" i="1"/>
  <c r="H61" i="1"/>
  <c r="H57" i="1"/>
  <c r="H2" i="1"/>
  <c r="J62" i="1" l="1"/>
  <c r="H62" i="1"/>
</calcChain>
</file>

<file path=xl/sharedStrings.xml><?xml version="1.0" encoding="utf-8"?>
<sst xmlns="http://schemas.openxmlformats.org/spreadsheetml/2006/main" count="162" uniqueCount="92">
  <si>
    <t>well_id</t>
  </si>
  <si>
    <t>EER-1</t>
  </si>
  <si>
    <t>EWR-1</t>
  </si>
  <si>
    <t>EHR-1</t>
  </si>
  <si>
    <t>KEF-1</t>
  </si>
  <si>
    <t>EWF-1</t>
  </si>
  <si>
    <t>KHF-1</t>
  </si>
  <si>
    <t>KWR-1</t>
  </si>
  <si>
    <t>KER-1</t>
  </si>
  <si>
    <t>EHF-XA5S</t>
  </si>
  <si>
    <t>KWF-2</t>
  </si>
  <si>
    <t>EET-1</t>
  </si>
  <si>
    <t>EEF-1</t>
  </si>
  <si>
    <t>KFR-XE2S</t>
  </si>
  <si>
    <t>KHR-1</t>
  </si>
  <si>
    <t>KET-1</t>
  </si>
  <si>
    <t>KFR-XE1S</t>
  </si>
  <si>
    <t>EFF-XA2N</t>
  </si>
  <si>
    <t>KWF-1</t>
  </si>
  <si>
    <t>KHT-XE4S</t>
  </si>
  <si>
    <t>KHT-XD6N</t>
  </si>
  <si>
    <t>KWR-XE1N</t>
  </si>
  <si>
    <t>KER-XE3S</t>
  </si>
  <si>
    <t>EEF-2</t>
  </si>
  <si>
    <t>EFF-XA2S</t>
  </si>
  <si>
    <t>EEF-XA3S</t>
  </si>
  <si>
    <t>EFR-XB1S</t>
  </si>
  <si>
    <t>KHT-1</t>
  </si>
  <si>
    <t>LET-1</t>
  </si>
  <si>
    <t>KER-XD5N</t>
  </si>
  <si>
    <t>LWT-1</t>
  </si>
  <si>
    <t>EHF-XB7S</t>
  </si>
  <si>
    <t>EHR-XB2N</t>
  </si>
  <si>
    <t>EWR-XA1N</t>
  </si>
  <si>
    <t>LHT-1</t>
  </si>
  <si>
    <t>KFF-XD6S</t>
  </si>
  <si>
    <t>KWF-XE8S</t>
  </si>
  <si>
    <t>EWR-XB3N</t>
  </si>
  <si>
    <t>EHR-XB1N</t>
  </si>
  <si>
    <t>EWR-XB4N</t>
  </si>
  <si>
    <t>KHR-XD1N</t>
  </si>
  <si>
    <t>EER-XB4S</t>
  </si>
  <si>
    <t>EHT-XB5S</t>
  </si>
  <si>
    <t>EFR-XB2S</t>
  </si>
  <si>
    <t>KHF-XD4S</t>
  </si>
  <si>
    <t>KHT-XE5S</t>
  </si>
  <si>
    <t>EFR-XB3S</t>
  </si>
  <si>
    <t>KHR-XD1S</t>
  </si>
  <si>
    <t>KHT-2</t>
  </si>
  <si>
    <t>KFT-XD3S</t>
  </si>
  <si>
    <t>EHT-XC5S</t>
  </si>
  <si>
    <t>KHT-XE6S</t>
  </si>
  <si>
    <t>EHT-XB6S</t>
  </si>
  <si>
    <t>EFT-XC4S</t>
  </si>
  <si>
    <t>EFT-XC3S</t>
  </si>
  <si>
    <t>KHR-XD2N</t>
  </si>
  <si>
    <t>KWT-2</t>
  </si>
  <si>
    <t>EWT-2</t>
  </si>
  <si>
    <t>KHR-XE2N</t>
  </si>
  <si>
    <t>KER-2</t>
  </si>
  <si>
    <t>EHT-XC6S</t>
  </si>
  <si>
    <t>all_years</t>
  </si>
  <si>
    <t>2019-2025</t>
  </si>
  <si>
    <t>2018-2024</t>
  </si>
  <si>
    <t>AVG %AGE</t>
  </si>
  <si>
    <t># &gt;= 50%</t>
  </si>
  <si>
    <t>EF</t>
  </si>
  <si>
    <t>ER</t>
  </si>
  <si>
    <t>ET</t>
  </si>
  <si>
    <t>FF</t>
  </si>
  <si>
    <t>HF</t>
  </si>
  <si>
    <t>HR</t>
  </si>
  <si>
    <t>WF</t>
  </si>
  <si>
    <t>WR</t>
  </si>
  <si>
    <t>FR</t>
  </si>
  <si>
    <t>HT</t>
  </si>
  <si>
    <t>WT</t>
  </si>
  <si>
    <t>FT</t>
  </si>
  <si>
    <t>&gt;3</t>
  </si>
  <si>
    <t>&gt;2</t>
  </si>
  <si>
    <t>&gt;3 CAT with 50% cutoff</t>
  </si>
  <si>
    <t>&gt;2 CAT with 50% cutoff</t>
  </si>
  <si>
    <t># &gt;= 60%</t>
  </si>
  <si>
    <t>2019-2025 (50%)</t>
  </si>
  <si>
    <t>2018-2024 (50%)</t>
  </si>
  <si>
    <t>2018-2024 (60%)</t>
  </si>
  <si>
    <t>2019-2025 (60%)</t>
  </si>
  <si>
    <t>&gt;4</t>
  </si>
  <si>
    <t>&gt;4 CAT with 50% cutoff</t>
  </si>
  <si>
    <t>&gt;4 CAT with 60% cutoff</t>
  </si>
  <si>
    <t>&gt;3 CAT with 60% cutoff</t>
  </si>
  <si>
    <t>&gt;2 CAT with 60% cutoff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</si>
</sst>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0.0"/>
  </numFmts>
  <fonts count="2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7" tint="-0.249977111117893"/>
      <name val="Aptos Narrow"/>
      <family val="2"/>
      <scheme val="minor"/>
    </font>
    <font>
      <sz val="12"/>
      <color theme="2" tint="-9.9978637043366805E-2"/>
      <name val="Aptos Narrow"/>
      <family val="2"/>
      <scheme val="minor"/>
    </font>
    <font>
      <b/>
      <sz val="12"/>
      <color rgb="FFC00000"/>
      <name val="Aptos Narrow"/>
      <scheme val="minor"/>
    </font>
    <font>
      <sz val="12"/>
      <color rgb="FFC00000"/>
      <name val="Aptos Narrow"/>
      <scheme val="minor"/>
    </font>
    <font>
      <sz val="12"/>
      <color theme="0" tint="-0.499984740745262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1">
    <xf numFmtId="0" fontId="0" fillId="0" borderId="0" xfId="0"/>
    <xf numFmtId="171" fontId="0" fillId="0" borderId="0" xfId="0" applyNumberFormat="1"/>
    <xf numFmtId="171" fontId="0" fillId="0" borderId="0" xfId="0" applyNumberFormat="1" applyAlignment="1">
      <alignment horizontal="center" vertical="center"/>
    </xf>
    <xf numFmtId="171" fontId="18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0" borderId="0" xfId="0" applyFont="1"/>
    <xf numFmtId="171" fontId="19" fillId="0" borderId="0" xfId="0" applyNumberFormat="1" applyFont="1" applyAlignment="1">
      <alignment horizontal="center" vertical="center"/>
    </xf>
    <xf numFmtId="171" fontId="19" fillId="0" borderId="0" xfId="0" applyNumberFormat="1" applyFont="1"/>
    <xf numFmtId="0" fontId="0" fillId="33" borderId="0" xfId="0" applyFill="1"/>
    <xf numFmtId="171" fontId="0" fillId="33" borderId="0" xfId="0" applyNumberFormat="1" applyFill="1" applyAlignment="1">
      <alignment horizontal="center" vertical="center"/>
    </xf>
    <xf numFmtId="171" fontId="0" fillId="33" borderId="0" xfId="0" applyNumberFormat="1" applyFill="1"/>
    <xf numFmtId="0" fontId="19" fillId="33" borderId="0" xfId="0" applyFont="1" applyFill="1"/>
    <xf numFmtId="171" fontId="19" fillId="33" borderId="0" xfId="0" applyNumberFormat="1" applyFont="1" applyFill="1" applyAlignment="1">
      <alignment horizontal="center" vertical="center"/>
    </xf>
    <xf numFmtId="171" fontId="19" fillId="33" borderId="0" xfId="0" applyNumberFormat="1" applyFont="1" applyFill="1"/>
    <xf numFmtId="0" fontId="0" fillId="0" borderId="0" xfId="0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2" fillId="0" borderId="0" xfId="0" applyFont="1"/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20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0" fillId="34" borderId="0" xfId="0" applyFill="1" applyAlignment="1">
      <alignment horizontal="center"/>
    </xf>
    <xf numFmtId="0" fontId="20" fillId="34" borderId="0" xfId="0" applyFont="1" applyFill="1" applyAlignment="1">
      <alignment horizontal="center"/>
    </xf>
    <xf numFmtId="0" fontId="18" fillId="34" borderId="0" xfId="0" applyFont="1" applyFill="1" applyAlignment="1">
      <alignment horizontal="center"/>
    </xf>
    <xf numFmtId="0" fontId="23" fillId="0" borderId="0" xfId="0" applyFont="1" applyFill="1" applyAlignment="1">
      <alignment horizontal="center"/>
    </xf>
    <xf numFmtId="0" fontId="22" fillId="0" borderId="0" xfId="0" applyFont="1" applyAlignment="1">
      <alignment horizontal="center"/>
    </xf>
    <xf numFmtId="171" fontId="18" fillId="34" borderId="0" xfId="0" applyNumberFormat="1" applyFont="1" applyFill="1" applyAlignment="1">
      <alignment horizontal="center" vertical="center"/>
    </xf>
    <xf numFmtId="0" fontId="18" fillId="34" borderId="0" xfId="0" applyFont="1" applyFill="1" applyAlignment="1">
      <alignment horizontal="center" vertical="center"/>
    </xf>
    <xf numFmtId="0" fontId="21" fillId="35" borderId="0" xfId="0" applyFont="1" applyFill="1" applyAlignment="1">
      <alignment horizontal="center" vertical="center"/>
    </xf>
    <xf numFmtId="0" fontId="22" fillId="35" borderId="0" xfId="0" applyFont="1" applyFill="1" applyAlignment="1">
      <alignment horizontal="center"/>
    </xf>
    <xf numFmtId="171" fontId="18" fillId="36" borderId="0" xfId="0" applyNumberFormat="1" applyFont="1" applyFill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47330-600E-2C41-8F40-5DD00D13F7E7}">
  <dimension ref="A1:Q70"/>
  <sheetViews>
    <sheetView tabSelected="1" workbookViewId="0">
      <selection activeCell="L51" sqref="L51"/>
    </sheetView>
  </sheetViews>
  <sheetFormatPr baseColWidth="10" defaultRowHeight="16" x14ac:dyDescent="0.2"/>
  <cols>
    <col min="2" max="7" width="12.6640625" bestFit="1" customWidth="1"/>
  </cols>
  <sheetData>
    <row r="1" spans="1:17" ht="34" x14ac:dyDescent="0.2">
      <c r="A1" t="s">
        <v>0</v>
      </c>
      <c r="B1">
        <v>2018</v>
      </c>
      <c r="C1">
        <v>2019</v>
      </c>
      <c r="D1">
        <v>2021</v>
      </c>
      <c r="E1">
        <v>2024</v>
      </c>
      <c r="F1">
        <v>2025</v>
      </c>
      <c r="G1" t="s">
        <v>61</v>
      </c>
      <c r="H1" t="s">
        <v>63</v>
      </c>
      <c r="J1" t="s">
        <v>62</v>
      </c>
      <c r="N1" s="17" t="s">
        <v>83</v>
      </c>
      <c r="O1" s="17" t="s">
        <v>84</v>
      </c>
      <c r="P1" s="17" t="s">
        <v>86</v>
      </c>
      <c r="Q1" s="17" t="s">
        <v>85</v>
      </c>
    </row>
    <row r="2" spans="1:17" x14ac:dyDescent="0.2">
      <c r="A2" s="8" t="s">
        <v>1</v>
      </c>
      <c r="B2" s="9">
        <v>85.714285714285694</v>
      </c>
      <c r="C2" s="9">
        <v>71.428571428571402</v>
      </c>
      <c r="D2" s="9">
        <v>92.857142857142804</v>
      </c>
      <c r="E2" s="9">
        <v>85.714285714285694</v>
      </c>
      <c r="F2" s="9">
        <v>85.714285714285694</v>
      </c>
      <c r="G2" s="9">
        <v>84.285714285714207</v>
      </c>
      <c r="H2" s="10">
        <f>AVERAGE(B2:E2)</f>
        <v>83.928571428571402</v>
      </c>
      <c r="I2" s="8" t="s">
        <v>67</v>
      </c>
      <c r="J2" s="10">
        <f>AVERAGE(C2:F2)</f>
        <v>83.928571428571402</v>
      </c>
      <c r="K2" s="8" t="s">
        <v>67</v>
      </c>
      <c r="M2" s="18" t="s">
        <v>66</v>
      </c>
      <c r="N2" s="21">
        <f>COUNTIF(K$2:K$33, $M2)</f>
        <v>3</v>
      </c>
      <c r="O2" s="18">
        <f>COUNTIF(I$2:I$39, $M2)</f>
        <v>2</v>
      </c>
      <c r="P2" s="21">
        <f>COUNTIF(K$2:K$15, $M2)</f>
        <v>2</v>
      </c>
      <c r="Q2" s="21">
        <f>COUNTIF(I$2:I$24, $M2)</f>
        <v>1</v>
      </c>
    </row>
    <row r="3" spans="1:17" x14ac:dyDescent="0.2">
      <c r="A3" s="8" t="s">
        <v>5</v>
      </c>
      <c r="B3" s="9">
        <v>64.285714285714207</v>
      </c>
      <c r="C3" s="9">
        <v>64.285714285714207</v>
      </c>
      <c r="D3" s="9">
        <v>92.857142857142804</v>
      </c>
      <c r="E3" s="9">
        <v>85.714285714285694</v>
      </c>
      <c r="F3" s="9">
        <v>85.714285714285694</v>
      </c>
      <c r="G3" s="9">
        <v>78.571428571428498</v>
      </c>
      <c r="H3" s="10">
        <f>AVERAGE(B3:E3)</f>
        <v>76.785714285714221</v>
      </c>
      <c r="I3" s="8" t="s">
        <v>72</v>
      </c>
      <c r="J3" s="10">
        <f>AVERAGE(C3:F3)</f>
        <v>82.142857142857096</v>
      </c>
      <c r="K3" s="8" t="s">
        <v>72</v>
      </c>
      <c r="M3" s="18" t="s">
        <v>67</v>
      </c>
      <c r="N3" s="21">
        <f>COUNTIF(K$2:K$33, $M3)</f>
        <v>3</v>
      </c>
      <c r="O3" s="18">
        <f>COUNTIF(I$2:I$39, $M3)</f>
        <v>3</v>
      </c>
      <c r="P3" s="21">
        <f>COUNTIF(K$2:K$15, $M3)</f>
        <v>2</v>
      </c>
      <c r="Q3" s="21">
        <f>COUNTIF(I$2:I$24, $M3)</f>
        <v>3</v>
      </c>
    </row>
    <row r="4" spans="1:17" x14ac:dyDescent="0.2">
      <c r="A4" s="8" t="s">
        <v>4</v>
      </c>
      <c r="B4" s="9">
        <v>71.428571428571402</v>
      </c>
      <c r="C4" s="9">
        <v>71.428571428571402</v>
      </c>
      <c r="D4" s="9">
        <v>85.714285714285694</v>
      </c>
      <c r="E4" s="9">
        <v>85.714285714285694</v>
      </c>
      <c r="F4" s="9">
        <v>85.714285714285694</v>
      </c>
      <c r="G4" s="9">
        <v>80</v>
      </c>
      <c r="H4" s="10">
        <f>AVERAGE(B4:E4)</f>
        <v>78.571428571428555</v>
      </c>
      <c r="I4" s="8" t="s">
        <v>66</v>
      </c>
      <c r="J4" s="10">
        <f>AVERAGE(C4:F4)</f>
        <v>82.142857142857125</v>
      </c>
      <c r="K4" s="8" t="s">
        <v>66</v>
      </c>
      <c r="M4" s="18" t="s">
        <v>68</v>
      </c>
      <c r="N4" s="21">
        <f>COUNTIF(K$2:K$33, $M4)</f>
        <v>3</v>
      </c>
      <c r="O4" s="18">
        <f>COUNTIF(I$2:I$39, $M4)</f>
        <v>3</v>
      </c>
      <c r="P4" s="21">
        <f>COUNTIF(K$2:K$15, $M4)</f>
        <v>2</v>
      </c>
      <c r="Q4" s="21">
        <f>COUNTIF(I$2:I$24, $M4)</f>
        <v>2</v>
      </c>
    </row>
    <row r="5" spans="1:17" x14ac:dyDescent="0.2">
      <c r="A5" s="8" t="s">
        <v>6</v>
      </c>
      <c r="B5" s="9">
        <v>57.142857142857103</v>
      </c>
      <c r="C5" s="9">
        <v>64.285714285714207</v>
      </c>
      <c r="D5" s="9">
        <v>85.714285714285694</v>
      </c>
      <c r="E5" s="9">
        <v>85.714285714285694</v>
      </c>
      <c r="F5" s="9">
        <v>85.714285714285694</v>
      </c>
      <c r="G5" s="9">
        <v>75.714285714285694</v>
      </c>
      <c r="H5" s="10">
        <f>AVERAGE(B5:E5)</f>
        <v>73.214285714285666</v>
      </c>
      <c r="I5" s="8" t="s">
        <v>70</v>
      </c>
      <c r="J5" s="10">
        <f>AVERAGE(C5:F5)</f>
        <v>80.357142857142819</v>
      </c>
      <c r="K5" s="8" t="s">
        <v>70</v>
      </c>
      <c r="M5" s="18" t="s">
        <v>70</v>
      </c>
      <c r="N5" s="21">
        <f>COUNTIF(K$2:K$33, $M5)</f>
        <v>3</v>
      </c>
      <c r="O5" s="18">
        <f>COUNTIF(I$2:I$39, $M5)</f>
        <v>3</v>
      </c>
      <c r="P5" s="21">
        <f>COUNTIF(K$2:K$15, $M5)</f>
        <v>2</v>
      </c>
      <c r="Q5" s="21">
        <f>COUNTIF(I$2:I$24, $M5)</f>
        <v>2</v>
      </c>
    </row>
    <row r="6" spans="1:17" x14ac:dyDescent="0.2">
      <c r="A6" s="8" t="s">
        <v>3</v>
      </c>
      <c r="B6" s="9">
        <v>85.714285714285694</v>
      </c>
      <c r="C6" s="9">
        <v>71.428571428571402</v>
      </c>
      <c r="D6" s="9">
        <v>78.571428571428498</v>
      </c>
      <c r="E6" s="9">
        <v>85.714285714285694</v>
      </c>
      <c r="F6" s="9">
        <v>85.714285714285694</v>
      </c>
      <c r="G6" s="9">
        <v>81.428571428571402</v>
      </c>
      <c r="H6" s="10">
        <f>AVERAGE(B6:E6)</f>
        <v>80.357142857142833</v>
      </c>
      <c r="I6" s="8" t="s">
        <v>71</v>
      </c>
      <c r="J6" s="10">
        <f>AVERAGE(C6:F6)</f>
        <v>80.357142857142819</v>
      </c>
      <c r="K6" s="8" t="s">
        <v>71</v>
      </c>
      <c r="M6" s="18" t="s">
        <v>71</v>
      </c>
      <c r="N6" s="21">
        <f>COUNTIF(K$2:K$33, $M6)</f>
        <v>3</v>
      </c>
      <c r="O6" s="18">
        <f>COUNTIF(I$2:I$39, $M6)</f>
        <v>4</v>
      </c>
      <c r="P6" s="21">
        <f>COUNTIF(K$2:K$15, $M6)</f>
        <v>2</v>
      </c>
      <c r="Q6" s="21">
        <f>COUNTIF(I$2:I$24, $M6)</f>
        <v>3</v>
      </c>
    </row>
    <row r="7" spans="1:17" x14ac:dyDescent="0.2">
      <c r="A7" s="8" t="s">
        <v>2</v>
      </c>
      <c r="B7" s="9">
        <v>85.714285714285694</v>
      </c>
      <c r="C7" s="9">
        <v>71.428571428571402</v>
      </c>
      <c r="D7" s="9">
        <v>78.571428571428498</v>
      </c>
      <c r="E7" s="9">
        <v>85.714285714285694</v>
      </c>
      <c r="F7" s="9">
        <v>85.714285714285694</v>
      </c>
      <c r="G7" s="9">
        <v>81.428571428571402</v>
      </c>
      <c r="H7" s="10">
        <f>AVERAGE(B7:E7)</f>
        <v>80.357142857142833</v>
      </c>
      <c r="I7" s="8" t="s">
        <v>73</v>
      </c>
      <c r="J7" s="10">
        <f>AVERAGE(C7:F7)</f>
        <v>80.357142857142819</v>
      </c>
      <c r="K7" s="8" t="s">
        <v>73</v>
      </c>
      <c r="M7" s="18" t="s">
        <v>75</v>
      </c>
      <c r="N7" s="21">
        <f>COUNTIF(K$2:K$33, $M7)</f>
        <v>3</v>
      </c>
      <c r="O7" s="18">
        <f>COUNTIF(I$2:I$39, $M7)</f>
        <v>3</v>
      </c>
      <c r="P7" s="21">
        <f>COUNTIF(K$2:K$15, $M7)</f>
        <v>1</v>
      </c>
      <c r="Q7" s="21">
        <f>COUNTIF(I$2:I$24, $M7)</f>
        <v>1</v>
      </c>
    </row>
    <row r="8" spans="1:17" x14ac:dyDescent="0.2">
      <c r="A8" s="8" t="s">
        <v>15</v>
      </c>
      <c r="B8" s="9">
        <v>0</v>
      </c>
      <c r="C8" s="9">
        <v>50</v>
      </c>
      <c r="D8" s="9">
        <v>71.428571428571402</v>
      </c>
      <c r="E8" s="9">
        <v>85.714285714285694</v>
      </c>
      <c r="F8" s="9">
        <v>85.714285714285694</v>
      </c>
      <c r="G8" s="9">
        <v>58.571428571428498</v>
      </c>
      <c r="H8" s="10">
        <f>AVERAGE(B8:E8)</f>
        <v>51.785714285714278</v>
      </c>
      <c r="I8" s="8" t="s">
        <v>68</v>
      </c>
      <c r="J8" s="10">
        <f>AVERAGE(C8:F8)</f>
        <v>73.214285714285694</v>
      </c>
      <c r="K8" s="8" t="s">
        <v>68</v>
      </c>
      <c r="M8" s="18" t="s">
        <v>72</v>
      </c>
      <c r="N8" s="21">
        <f>COUNTIF(K$2:K$33, $M8)</f>
        <v>2</v>
      </c>
      <c r="O8" s="18">
        <f>COUNTIF(I$2:I$39, $M8)</f>
        <v>3</v>
      </c>
      <c r="P8" s="21">
        <f>COUNTIF(K$2:K$15, $M8)</f>
        <v>1</v>
      </c>
      <c r="Q8" s="21">
        <f>COUNTIF(I$2:I$24, $M8)</f>
        <v>2</v>
      </c>
    </row>
    <row r="9" spans="1:17" x14ac:dyDescent="0.2">
      <c r="A9" s="8" t="s">
        <v>14</v>
      </c>
      <c r="B9" s="9">
        <v>0</v>
      </c>
      <c r="C9" s="9">
        <v>50</v>
      </c>
      <c r="D9" s="9">
        <v>71.428571428571402</v>
      </c>
      <c r="E9" s="9">
        <v>85.714285714285694</v>
      </c>
      <c r="F9" s="9">
        <v>85.714285714285694</v>
      </c>
      <c r="G9" s="9">
        <v>58.571428571428498</v>
      </c>
      <c r="H9" s="10">
        <f>AVERAGE(B9:E9)</f>
        <v>51.785714285714278</v>
      </c>
      <c r="I9" s="8" t="s">
        <v>71</v>
      </c>
      <c r="J9" s="10">
        <f>AVERAGE(C9:F9)</f>
        <v>73.214285714285694</v>
      </c>
      <c r="K9" s="8" t="s">
        <v>71</v>
      </c>
      <c r="M9" s="18" t="s">
        <v>73</v>
      </c>
      <c r="N9" s="21">
        <f>COUNTIF(K$2:K$33, $M9)</f>
        <v>3</v>
      </c>
      <c r="O9" s="18">
        <f>COUNTIF(I$2:I$39, $M9)</f>
        <v>5</v>
      </c>
      <c r="P9" s="21">
        <f>COUNTIF(K$2:K$15, $M9)</f>
        <v>2</v>
      </c>
      <c r="Q9" s="21">
        <f>COUNTIF(I$2:I$24, $M9)</f>
        <v>2</v>
      </c>
    </row>
    <row r="10" spans="1:17" x14ac:dyDescent="0.2">
      <c r="A10" t="s">
        <v>27</v>
      </c>
      <c r="B10" s="2">
        <v>0</v>
      </c>
      <c r="C10" s="2">
        <v>0</v>
      </c>
      <c r="D10" s="2">
        <v>64.285714285714207</v>
      </c>
      <c r="E10" s="2">
        <v>85.714285714285694</v>
      </c>
      <c r="F10" s="2">
        <v>85.714285714285694</v>
      </c>
      <c r="G10" s="2">
        <v>47.142857142857103</v>
      </c>
      <c r="H10" s="1">
        <f>AVERAGE(B10:E10)</f>
        <v>37.499999999999972</v>
      </c>
      <c r="I10" s="1"/>
      <c r="J10" s="1">
        <f>AVERAGE(C10:F10)</f>
        <v>58.928571428571395</v>
      </c>
      <c r="K10" t="s">
        <v>75</v>
      </c>
      <c r="M10" s="18" t="s">
        <v>76</v>
      </c>
      <c r="N10" s="21">
        <f>COUNTIF(K$2:K$33, $M10)</f>
        <v>1</v>
      </c>
      <c r="O10" s="18">
        <f>COUNTIF(I$2:I$39, $M10)</f>
        <v>1</v>
      </c>
      <c r="P10" s="21">
        <f>COUNTIF(K$2:K$15, $M10)</f>
        <v>0</v>
      </c>
      <c r="Q10" s="21">
        <f>COUNTIF(I$2:I$24, $M10)</f>
        <v>0</v>
      </c>
    </row>
    <row r="11" spans="1:17" x14ac:dyDescent="0.2">
      <c r="A11" s="8" t="s">
        <v>11</v>
      </c>
      <c r="B11" s="9">
        <v>64.285714285714207</v>
      </c>
      <c r="C11" s="9">
        <v>50</v>
      </c>
      <c r="D11" s="9">
        <v>50</v>
      </c>
      <c r="E11" s="9">
        <v>85.714285714285694</v>
      </c>
      <c r="F11" s="9">
        <v>85.714285714285694</v>
      </c>
      <c r="G11" s="9">
        <v>67.142857142857096</v>
      </c>
      <c r="H11" s="10">
        <f>AVERAGE(B11:E11)</f>
        <v>62.499999999999979</v>
      </c>
      <c r="I11" s="8" t="s">
        <v>68</v>
      </c>
      <c r="J11" s="10">
        <f>AVERAGE(C11:F11)</f>
        <v>67.857142857142847</v>
      </c>
      <c r="K11" s="8" t="s">
        <v>68</v>
      </c>
      <c r="M11" s="19" t="s">
        <v>69</v>
      </c>
      <c r="N11" s="22">
        <f>COUNTIF(K11:K42, M11)</f>
        <v>1</v>
      </c>
      <c r="O11" s="24">
        <f>COUNTIF(I$2:I$39, $M11)</f>
        <v>1</v>
      </c>
      <c r="P11" s="21">
        <f>COUNTIF(K$2:K$15, $M11)</f>
        <v>0</v>
      </c>
      <c r="Q11" s="21">
        <f>COUNTIF(I$2:I$24, $M11)</f>
        <v>0</v>
      </c>
    </row>
    <row r="12" spans="1:17" x14ac:dyDescent="0.2">
      <c r="A12" s="8" t="s">
        <v>8</v>
      </c>
      <c r="B12" s="9">
        <v>64.285714285714207</v>
      </c>
      <c r="C12" s="9">
        <v>71.428571428571402</v>
      </c>
      <c r="D12" s="9">
        <v>42.857142857142797</v>
      </c>
      <c r="E12" s="9">
        <v>85.714285714285694</v>
      </c>
      <c r="F12" s="9">
        <v>85.714285714285694</v>
      </c>
      <c r="G12" s="9">
        <v>70</v>
      </c>
      <c r="H12" s="10">
        <f>AVERAGE(B12:E12)</f>
        <v>66.071428571428527</v>
      </c>
      <c r="I12" s="8" t="s">
        <v>67</v>
      </c>
      <c r="J12" s="10">
        <f>AVERAGE(C12:F12)</f>
        <v>71.428571428571388</v>
      </c>
      <c r="K12" s="8" t="s">
        <v>67</v>
      </c>
      <c r="M12" s="19" t="s">
        <v>74</v>
      </c>
      <c r="N12" s="22">
        <f>COUNTIF(K12:K43, M12)</f>
        <v>2</v>
      </c>
      <c r="O12" s="24">
        <f>COUNTIF(I$2:I$39, $M12)</f>
        <v>3</v>
      </c>
      <c r="P12" s="21">
        <f>COUNTIF(K$2:K$15, $M12)</f>
        <v>0</v>
      </c>
      <c r="Q12" s="21">
        <f>COUNTIF(I$2:I$24, $M12)</f>
        <v>0</v>
      </c>
    </row>
    <row r="13" spans="1:17" x14ac:dyDescent="0.2">
      <c r="A13" t="s">
        <v>23</v>
      </c>
      <c r="B13" s="2">
        <v>0</v>
      </c>
      <c r="C13" s="2">
        <v>57.142857142857103</v>
      </c>
      <c r="D13" s="2">
        <v>42.857142857142797</v>
      </c>
      <c r="E13" s="2">
        <v>85.714285714285694</v>
      </c>
      <c r="F13" s="2">
        <v>85.714285714285694</v>
      </c>
      <c r="G13" s="2">
        <v>54.285714285714199</v>
      </c>
      <c r="H13" s="1">
        <f>AVERAGE(B13:E13)</f>
        <v>46.428571428571402</v>
      </c>
      <c r="I13" s="1"/>
      <c r="J13" s="1">
        <f>AVERAGE(C13:F13)</f>
        <v>67.857142857142833</v>
      </c>
      <c r="K13" t="s">
        <v>66</v>
      </c>
      <c r="M13" s="19" t="s">
        <v>77</v>
      </c>
      <c r="N13" s="22">
        <f>COUNTIF(K13:K44, M13)</f>
        <v>0</v>
      </c>
      <c r="O13" s="24">
        <f>COUNTIF(I$2:I$39, $M13)</f>
        <v>0</v>
      </c>
      <c r="P13" s="21">
        <f>COUNTIF(K$2:K$15, $M13)</f>
        <v>0</v>
      </c>
      <c r="Q13" s="21">
        <f>COUNTIF(I$2:I$24, $M13)</f>
        <v>0</v>
      </c>
    </row>
    <row r="14" spans="1:17" x14ac:dyDescent="0.2">
      <c r="A14" s="8" t="s">
        <v>7</v>
      </c>
      <c r="B14" s="9">
        <v>71.428571428571402</v>
      </c>
      <c r="C14" s="9">
        <v>71.428571428571402</v>
      </c>
      <c r="D14" s="9">
        <v>71.428571428571402</v>
      </c>
      <c r="E14" s="9">
        <v>78.571428571428498</v>
      </c>
      <c r="F14" s="9">
        <v>85.714285714285694</v>
      </c>
      <c r="G14" s="9">
        <v>75.714285714285694</v>
      </c>
      <c r="H14" s="10">
        <f>AVERAGE(B14:E14)</f>
        <v>73.21428571428568</v>
      </c>
      <c r="I14" s="8" t="s">
        <v>73</v>
      </c>
      <c r="J14" s="10">
        <f>AVERAGE(C14:F14)</f>
        <v>76.785714285714249</v>
      </c>
      <c r="K14" s="8" t="s">
        <v>73</v>
      </c>
      <c r="M14" s="20" t="s">
        <v>87</v>
      </c>
      <c r="N14" s="20">
        <v>4</v>
      </c>
      <c r="O14" s="20">
        <v>4</v>
      </c>
      <c r="P14" s="20">
        <v>0</v>
      </c>
      <c r="Q14" s="20">
        <v>0</v>
      </c>
    </row>
    <row r="15" spans="1:17" x14ac:dyDescent="0.2">
      <c r="A15" s="8" t="s">
        <v>9</v>
      </c>
      <c r="B15" s="9">
        <v>64.285714285714207</v>
      </c>
      <c r="C15" s="9">
        <v>71.428571428571402</v>
      </c>
      <c r="D15" s="9">
        <v>42.857142857142797</v>
      </c>
      <c r="E15" s="9">
        <v>78.571428571428498</v>
      </c>
      <c r="F15" s="9">
        <v>85.714285714285694</v>
      </c>
      <c r="G15" s="9">
        <v>68.571428571428498</v>
      </c>
      <c r="H15" s="10">
        <f>AVERAGE(B15:E15)</f>
        <v>64.285714285714221</v>
      </c>
      <c r="I15" s="8" t="s">
        <v>70</v>
      </c>
      <c r="J15" s="10">
        <f>AVERAGE(C15:F15)</f>
        <v>69.642857142857096</v>
      </c>
      <c r="K15" s="8" t="s">
        <v>70</v>
      </c>
      <c r="M15" s="20" t="s">
        <v>78</v>
      </c>
      <c r="N15" s="23">
        <v>8</v>
      </c>
      <c r="O15" s="20">
        <v>8</v>
      </c>
      <c r="P15" s="20">
        <v>0</v>
      </c>
      <c r="Q15" s="23">
        <v>5</v>
      </c>
    </row>
    <row r="16" spans="1:17" x14ac:dyDescent="0.2">
      <c r="A16" s="8" t="s">
        <v>10</v>
      </c>
      <c r="B16" s="9">
        <v>50</v>
      </c>
      <c r="C16" s="9">
        <v>71.428571428571402</v>
      </c>
      <c r="D16" s="9">
        <v>57.142857142857103</v>
      </c>
      <c r="E16" s="9">
        <v>85.714285714285694</v>
      </c>
      <c r="F16" s="9">
        <v>71.428571428571402</v>
      </c>
      <c r="G16" s="9">
        <v>67.142857142857096</v>
      </c>
      <c r="H16" s="10">
        <f>AVERAGE(B16:E16)</f>
        <v>66.071428571428555</v>
      </c>
      <c r="I16" s="8" t="s">
        <v>72</v>
      </c>
      <c r="J16" s="10">
        <f>AVERAGE(C16:F16)</f>
        <v>71.428571428571402</v>
      </c>
      <c r="K16" s="8" t="s">
        <v>72</v>
      </c>
      <c r="M16" s="20" t="s">
        <v>79</v>
      </c>
      <c r="N16" s="23">
        <v>8</v>
      </c>
      <c r="O16" s="20">
        <f>7+1</f>
        <v>8</v>
      </c>
      <c r="P16" s="20">
        <v>7</v>
      </c>
      <c r="Q16" s="23">
        <v>8</v>
      </c>
    </row>
    <row r="17" spans="1:17" x14ac:dyDescent="0.2">
      <c r="A17" s="5" t="s">
        <v>56</v>
      </c>
      <c r="B17" s="6">
        <v>0</v>
      </c>
      <c r="C17" s="6">
        <v>0</v>
      </c>
      <c r="D17" s="6">
        <v>0</v>
      </c>
      <c r="E17" s="6">
        <v>0</v>
      </c>
      <c r="F17" s="6">
        <v>71.428571428571402</v>
      </c>
      <c r="G17" s="6">
        <v>14.285714285714199</v>
      </c>
      <c r="H17" s="7">
        <v>0</v>
      </c>
      <c r="I17" s="7"/>
      <c r="J17" s="7">
        <f>AVERAGE(C17:F17)</f>
        <v>17.857142857142851</v>
      </c>
      <c r="N17" s="14">
        <v>1</v>
      </c>
      <c r="O17" s="14">
        <v>1</v>
      </c>
      <c r="P17" s="14"/>
      <c r="Q17" s="14">
        <v>2</v>
      </c>
    </row>
    <row r="18" spans="1:17" x14ac:dyDescent="0.2">
      <c r="A18" s="5" t="s">
        <v>57</v>
      </c>
      <c r="B18" s="6">
        <v>0</v>
      </c>
      <c r="C18" s="6">
        <v>0</v>
      </c>
      <c r="D18" s="6">
        <v>0</v>
      </c>
      <c r="E18" s="6">
        <v>0</v>
      </c>
      <c r="F18" s="6">
        <v>71.428571428571402</v>
      </c>
      <c r="G18" s="6">
        <v>14.285714285714199</v>
      </c>
      <c r="H18" s="7">
        <v>0</v>
      </c>
      <c r="I18" s="7"/>
      <c r="J18" s="7">
        <f>AVERAGE(C18:F18)</f>
        <v>17.857142857142851</v>
      </c>
    </row>
    <row r="19" spans="1:17" x14ac:dyDescent="0.2">
      <c r="A19" s="5" t="s">
        <v>59</v>
      </c>
      <c r="B19" s="6">
        <v>0</v>
      </c>
      <c r="C19" s="6">
        <v>0</v>
      </c>
      <c r="D19" s="6">
        <v>0</v>
      </c>
      <c r="E19" s="6">
        <v>0</v>
      </c>
      <c r="F19" s="6">
        <v>71.428571428571402</v>
      </c>
      <c r="G19" s="6">
        <v>14.285714285714199</v>
      </c>
      <c r="H19" s="7">
        <v>0</v>
      </c>
      <c r="I19" s="7"/>
      <c r="J19" s="7">
        <f>AVERAGE(C19:F19)</f>
        <v>17.857142857142851</v>
      </c>
    </row>
    <row r="20" spans="1:17" x14ac:dyDescent="0.2">
      <c r="A20" s="5" t="s">
        <v>50</v>
      </c>
      <c r="B20" s="6">
        <v>0</v>
      </c>
      <c r="C20" s="6">
        <v>0</v>
      </c>
      <c r="D20" s="6">
        <v>42.857142857142797</v>
      </c>
      <c r="E20" s="6">
        <v>71.428571428571402</v>
      </c>
      <c r="F20" s="6">
        <v>35.714285714285701</v>
      </c>
      <c r="G20" s="6">
        <v>30</v>
      </c>
      <c r="H20" s="7">
        <f>AVERAGE(B20:E20)</f>
        <v>28.571428571428548</v>
      </c>
      <c r="I20" s="7"/>
      <c r="J20" s="7">
        <f>AVERAGE(C20:F20)</f>
        <v>37.499999999999972</v>
      </c>
    </row>
    <row r="21" spans="1:17" x14ac:dyDescent="0.2">
      <c r="A21" s="8" t="s">
        <v>29</v>
      </c>
      <c r="B21" s="9">
        <v>0</v>
      </c>
      <c r="C21" s="9">
        <v>42.857142857142797</v>
      </c>
      <c r="D21" s="9">
        <v>71.428571428571402</v>
      </c>
      <c r="E21" s="9">
        <v>85.714285714285694</v>
      </c>
      <c r="F21" s="9">
        <v>21.428571428571399</v>
      </c>
      <c r="G21" s="9">
        <v>44.285714285714199</v>
      </c>
      <c r="H21" s="10">
        <f>AVERAGE(B21:E21)</f>
        <v>49.999999999999972</v>
      </c>
      <c r="I21" s="8" t="s">
        <v>67</v>
      </c>
      <c r="J21" s="10">
        <f>AVERAGE(C21:F21)</f>
        <v>55.357142857142819</v>
      </c>
      <c r="K21" s="8" t="s">
        <v>67</v>
      </c>
    </row>
    <row r="22" spans="1:17" x14ac:dyDescent="0.2">
      <c r="A22" s="5" t="s">
        <v>48</v>
      </c>
      <c r="B22" s="6">
        <v>0</v>
      </c>
      <c r="C22" s="6">
        <v>0</v>
      </c>
      <c r="D22" s="6">
        <v>50</v>
      </c>
      <c r="E22" s="6">
        <v>85.714285714285694</v>
      </c>
      <c r="F22" s="6">
        <v>21.428571428571399</v>
      </c>
      <c r="G22" s="6">
        <v>31.428571428571399</v>
      </c>
      <c r="H22" s="7">
        <f>AVERAGE(B22:E22)</f>
        <v>33.928571428571423</v>
      </c>
      <c r="I22" s="7"/>
      <c r="J22" s="7">
        <f>AVERAGE(C22:F22)</f>
        <v>39.28571428571427</v>
      </c>
    </row>
    <row r="23" spans="1:17" x14ac:dyDescent="0.2">
      <c r="A23" s="8" t="s">
        <v>20</v>
      </c>
      <c r="B23" s="9">
        <v>64.285714285714207</v>
      </c>
      <c r="C23" s="9">
        <v>42.857142857142797</v>
      </c>
      <c r="D23" s="9">
        <v>71.428571428571402</v>
      </c>
      <c r="E23" s="9">
        <v>78.571428571428498</v>
      </c>
      <c r="F23" s="9">
        <v>21.428571428571399</v>
      </c>
      <c r="G23" s="9">
        <v>55.714285714285701</v>
      </c>
      <c r="H23" s="10">
        <f>AVERAGE(B23:E23)</f>
        <v>64.285714285714221</v>
      </c>
      <c r="I23" s="8" t="s">
        <v>75</v>
      </c>
      <c r="J23" s="10">
        <f>AVERAGE(C23:F23)</f>
        <v>53.57142857142852</v>
      </c>
      <c r="K23" s="8" t="s">
        <v>75</v>
      </c>
    </row>
    <row r="24" spans="1:17" x14ac:dyDescent="0.2">
      <c r="A24" s="8" t="s">
        <v>32</v>
      </c>
      <c r="B24" s="9">
        <v>7.1428571428571397</v>
      </c>
      <c r="C24" s="9">
        <v>28.571428571428498</v>
      </c>
      <c r="D24" s="9">
        <v>78.571428571428498</v>
      </c>
      <c r="E24" s="9">
        <v>85.714285714285694</v>
      </c>
      <c r="F24" s="9">
        <v>14.285714285714199</v>
      </c>
      <c r="G24" s="9">
        <v>42.857142857142797</v>
      </c>
      <c r="H24" s="10">
        <f>AVERAGE(B24:E24)</f>
        <v>49.999999999999957</v>
      </c>
      <c r="I24" s="8" t="s">
        <v>71</v>
      </c>
      <c r="J24" s="10">
        <f>AVERAGE(C24:F24)</f>
        <v>51.785714285714221</v>
      </c>
      <c r="K24" s="8" t="s">
        <v>71</v>
      </c>
    </row>
    <row r="25" spans="1:17" x14ac:dyDescent="0.2">
      <c r="A25" s="8" t="s">
        <v>12</v>
      </c>
      <c r="B25" s="9">
        <v>85.714285714285694</v>
      </c>
      <c r="C25" s="9">
        <v>71.428571428571402</v>
      </c>
      <c r="D25" s="9">
        <v>78.571428571428498</v>
      </c>
      <c r="E25" s="9">
        <v>85.714285714285694</v>
      </c>
      <c r="F25" s="9">
        <v>0</v>
      </c>
      <c r="G25" s="9">
        <v>64.285714285714207</v>
      </c>
      <c r="H25" s="10">
        <f>AVERAGE(B25:E25)</f>
        <v>80.357142857142833</v>
      </c>
      <c r="I25" s="8" t="s">
        <v>66</v>
      </c>
      <c r="J25" s="10">
        <f>AVERAGE(C25:F25)</f>
        <v>58.928571428571395</v>
      </c>
      <c r="K25" s="8" t="s">
        <v>66</v>
      </c>
    </row>
    <row r="26" spans="1:17" x14ac:dyDescent="0.2">
      <c r="A26" s="8" t="s">
        <v>17</v>
      </c>
      <c r="B26" s="9">
        <v>64.285714285714207</v>
      </c>
      <c r="C26" s="9">
        <v>64.285714285714207</v>
      </c>
      <c r="D26" s="9">
        <v>78.571428571428498</v>
      </c>
      <c r="E26" s="9">
        <v>85.714285714285694</v>
      </c>
      <c r="F26" s="9">
        <v>0</v>
      </c>
      <c r="G26" s="9">
        <v>58.571428571428498</v>
      </c>
      <c r="H26" s="10">
        <f>AVERAGE(B26:E26)</f>
        <v>73.214285714285651</v>
      </c>
      <c r="I26" s="8" t="s">
        <v>69</v>
      </c>
      <c r="J26" s="10">
        <f>AVERAGE(C26:F26)</f>
        <v>57.142857142857103</v>
      </c>
      <c r="K26" s="8" t="s">
        <v>69</v>
      </c>
    </row>
    <row r="27" spans="1:17" x14ac:dyDescent="0.2">
      <c r="A27" s="11" t="s">
        <v>26</v>
      </c>
      <c r="B27" s="12">
        <v>64.285714285714207</v>
      </c>
      <c r="C27" s="12">
        <v>21.428571428571399</v>
      </c>
      <c r="D27" s="12">
        <v>78.571428571428498</v>
      </c>
      <c r="E27" s="12">
        <v>85.714285714285694</v>
      </c>
      <c r="F27" s="12">
        <v>0</v>
      </c>
      <c r="G27" s="12">
        <v>50</v>
      </c>
      <c r="H27" s="13">
        <f>AVERAGE(B27:E27)</f>
        <v>62.49999999999995</v>
      </c>
      <c r="I27" s="8" t="s">
        <v>74</v>
      </c>
      <c r="J27" s="13">
        <f>AVERAGE(C27:F27)</f>
        <v>46.428571428571402</v>
      </c>
      <c r="K27" s="8"/>
    </row>
    <row r="28" spans="1:17" x14ac:dyDescent="0.2">
      <c r="A28" s="8" t="s">
        <v>31</v>
      </c>
      <c r="B28" s="9">
        <v>0</v>
      </c>
      <c r="C28" s="9">
        <v>57.142857142857103</v>
      </c>
      <c r="D28" s="9">
        <v>78.571428571428498</v>
      </c>
      <c r="E28" s="9">
        <v>85.714285714285694</v>
      </c>
      <c r="F28" s="9">
        <v>0</v>
      </c>
      <c r="G28" s="9">
        <v>44.285714285714199</v>
      </c>
      <c r="H28" s="10">
        <f>AVERAGE(B28:E28)</f>
        <v>55.357142857142826</v>
      </c>
      <c r="I28" s="8" t="s">
        <v>70</v>
      </c>
      <c r="J28" s="10">
        <f>AVERAGE(C28:F28)</f>
        <v>55.357142857142826</v>
      </c>
      <c r="K28" s="8" t="s">
        <v>70</v>
      </c>
    </row>
    <row r="29" spans="1:17" x14ac:dyDescent="0.2">
      <c r="A29" s="8" t="s">
        <v>28</v>
      </c>
      <c r="B29" s="9">
        <v>0</v>
      </c>
      <c r="C29" s="9">
        <v>57.142857142857103</v>
      </c>
      <c r="D29" s="9">
        <v>78.571428571428498</v>
      </c>
      <c r="E29" s="9">
        <v>85.714285714285694</v>
      </c>
      <c r="F29" s="9">
        <v>0</v>
      </c>
      <c r="G29" s="9">
        <v>44.285714285714199</v>
      </c>
      <c r="H29" s="10">
        <f>AVERAGE(B29:E29)</f>
        <v>55.357142857142826</v>
      </c>
      <c r="I29" s="8" t="s">
        <v>68</v>
      </c>
      <c r="J29" s="10">
        <f>AVERAGE(C29:F29)</f>
        <v>55.357142857142826</v>
      </c>
      <c r="K29" s="8" t="s">
        <v>68</v>
      </c>
    </row>
    <row r="30" spans="1:17" x14ac:dyDescent="0.2">
      <c r="A30" s="8" t="s">
        <v>30</v>
      </c>
      <c r="B30" s="9">
        <v>0</v>
      </c>
      <c r="C30" s="9">
        <v>57.142857142857103</v>
      </c>
      <c r="D30" s="9">
        <v>78.571428571428498</v>
      </c>
      <c r="E30" s="9">
        <v>85.714285714285694</v>
      </c>
      <c r="F30" s="9">
        <v>0</v>
      </c>
      <c r="G30" s="9">
        <v>44.285714285714199</v>
      </c>
      <c r="H30" s="10">
        <f>AVERAGE(B30:E30)</f>
        <v>55.357142857142826</v>
      </c>
      <c r="I30" s="8" t="s">
        <v>76</v>
      </c>
      <c r="J30" s="10">
        <f>AVERAGE(C30:F30)</f>
        <v>55.357142857142826</v>
      </c>
      <c r="K30" s="8" t="s">
        <v>76</v>
      </c>
    </row>
    <row r="31" spans="1:17" x14ac:dyDescent="0.2">
      <c r="A31" s="8" t="s">
        <v>33</v>
      </c>
      <c r="B31" s="9">
        <v>0</v>
      </c>
      <c r="C31" s="9">
        <v>50</v>
      </c>
      <c r="D31" s="9">
        <v>78.571428571428498</v>
      </c>
      <c r="E31" s="9">
        <v>85.714285714285694</v>
      </c>
      <c r="F31" s="9">
        <v>0</v>
      </c>
      <c r="G31" s="9">
        <v>42.857142857142797</v>
      </c>
      <c r="H31" s="10">
        <f>AVERAGE(B31:E31)</f>
        <v>53.571428571428548</v>
      </c>
      <c r="I31" s="8" t="s">
        <v>73</v>
      </c>
      <c r="J31" s="10">
        <f>AVERAGE(C31:F31)</f>
        <v>53.571428571428548</v>
      </c>
      <c r="K31" s="8" t="s">
        <v>73</v>
      </c>
    </row>
    <row r="32" spans="1:17" x14ac:dyDescent="0.2">
      <c r="A32" s="8" t="s">
        <v>34</v>
      </c>
      <c r="B32" s="9">
        <v>0</v>
      </c>
      <c r="C32" s="9">
        <v>50</v>
      </c>
      <c r="D32" s="9">
        <v>78.571428571428498</v>
      </c>
      <c r="E32" s="9">
        <v>85.714285714285694</v>
      </c>
      <c r="F32" s="9">
        <v>0</v>
      </c>
      <c r="G32" s="9">
        <v>42.857142857142797</v>
      </c>
      <c r="H32" s="10">
        <f>AVERAGE(B32:E32)</f>
        <v>53.571428571428548</v>
      </c>
      <c r="I32" s="8" t="s">
        <v>75</v>
      </c>
      <c r="J32" s="10">
        <f>AVERAGE(C32:F32)</f>
        <v>53.571428571428548</v>
      </c>
      <c r="K32" s="8" t="s">
        <v>75</v>
      </c>
    </row>
    <row r="33" spans="1:11" x14ac:dyDescent="0.2">
      <c r="A33" s="11" t="s">
        <v>37</v>
      </c>
      <c r="B33" s="12">
        <v>7.1428571428571397</v>
      </c>
      <c r="C33" s="12">
        <v>28.571428571428498</v>
      </c>
      <c r="D33" s="12">
        <v>78.571428571428498</v>
      </c>
      <c r="E33" s="12">
        <v>85.714285714285694</v>
      </c>
      <c r="F33" s="12">
        <v>0</v>
      </c>
      <c r="G33" s="12">
        <v>40</v>
      </c>
      <c r="H33" s="13">
        <f>AVERAGE(B33:E33)</f>
        <v>49.999999999999957</v>
      </c>
      <c r="I33" s="13" t="s">
        <v>73</v>
      </c>
      <c r="J33" s="13">
        <f>AVERAGE(C33:F33)</f>
        <v>48.214285714285673</v>
      </c>
      <c r="K33" s="8"/>
    </row>
    <row r="34" spans="1:11" x14ac:dyDescent="0.2">
      <c r="A34" s="11" t="s">
        <v>38</v>
      </c>
      <c r="B34" s="12">
        <v>7.1428571428571397</v>
      </c>
      <c r="C34" s="12">
        <v>28.571428571428498</v>
      </c>
      <c r="D34" s="12">
        <v>78.571428571428498</v>
      </c>
      <c r="E34" s="12">
        <v>85.714285714285694</v>
      </c>
      <c r="F34" s="12">
        <v>0</v>
      </c>
      <c r="G34" s="12">
        <v>40</v>
      </c>
      <c r="H34" s="13">
        <f>AVERAGE(B34:E34)</f>
        <v>49.999999999999957</v>
      </c>
      <c r="I34" s="13" t="s">
        <v>71</v>
      </c>
      <c r="J34" s="13">
        <f>AVERAGE(C34:F34)</f>
        <v>48.214285714285673</v>
      </c>
      <c r="K34" s="8"/>
    </row>
    <row r="35" spans="1:11" x14ac:dyDescent="0.2">
      <c r="A35" s="11" t="s">
        <v>39</v>
      </c>
      <c r="B35" s="12">
        <v>7.1428571428571397</v>
      </c>
      <c r="C35" s="12">
        <v>28.571428571428498</v>
      </c>
      <c r="D35" s="12">
        <v>78.571428571428498</v>
      </c>
      <c r="E35" s="12">
        <v>85.714285714285694</v>
      </c>
      <c r="F35" s="12">
        <v>0</v>
      </c>
      <c r="G35" s="12">
        <v>40</v>
      </c>
      <c r="H35" s="13">
        <f>AVERAGE(B35:E35)</f>
        <v>49.999999999999957</v>
      </c>
      <c r="I35" s="13" t="s">
        <v>73</v>
      </c>
      <c r="J35" s="13">
        <f>AVERAGE(C35:F35)</f>
        <v>48.214285714285673</v>
      </c>
      <c r="K35" s="8"/>
    </row>
    <row r="36" spans="1:11" x14ac:dyDescent="0.2">
      <c r="A36" s="8" t="s">
        <v>16</v>
      </c>
      <c r="B36" s="9">
        <v>71.428571428571402</v>
      </c>
      <c r="C36" s="9">
        <v>64.285714285714207</v>
      </c>
      <c r="D36" s="9">
        <v>71.428571428571402</v>
      </c>
      <c r="E36" s="9">
        <v>85.714285714285694</v>
      </c>
      <c r="F36" s="9">
        <v>0</v>
      </c>
      <c r="G36" s="9">
        <v>58.571428571428498</v>
      </c>
      <c r="H36" s="10">
        <f>AVERAGE(B36:E36)</f>
        <v>73.214285714285666</v>
      </c>
      <c r="I36" s="8" t="s">
        <v>74</v>
      </c>
      <c r="J36" s="10">
        <f>AVERAGE(C36:F36)</f>
        <v>55.357142857142826</v>
      </c>
      <c r="K36" s="8" t="s">
        <v>74</v>
      </c>
    </row>
    <row r="37" spans="1:11" x14ac:dyDescent="0.2">
      <c r="A37" s="8" t="s">
        <v>13</v>
      </c>
      <c r="B37" s="9">
        <v>71.428571428571402</v>
      </c>
      <c r="C37" s="9">
        <v>64.285714285714207</v>
      </c>
      <c r="D37" s="9">
        <v>71.428571428571402</v>
      </c>
      <c r="E37" s="9">
        <v>85.714285714285694</v>
      </c>
      <c r="F37" s="9">
        <v>0</v>
      </c>
      <c r="G37" s="9">
        <v>58.571428571428498</v>
      </c>
      <c r="H37" s="10">
        <f>AVERAGE(B37:E37)</f>
        <v>73.214285714285666</v>
      </c>
      <c r="I37" s="8" t="s">
        <v>74</v>
      </c>
      <c r="J37" s="10">
        <f>AVERAGE(C37:F37)</f>
        <v>55.357142857142826</v>
      </c>
      <c r="K37" s="8" t="s">
        <v>74</v>
      </c>
    </row>
    <row r="38" spans="1:11" x14ac:dyDescent="0.2">
      <c r="A38" s="8" t="s">
        <v>19</v>
      </c>
      <c r="B38" s="9">
        <v>57.142857142857103</v>
      </c>
      <c r="C38" s="9">
        <v>71.428571428571402</v>
      </c>
      <c r="D38" s="9">
        <v>71.428571428571402</v>
      </c>
      <c r="E38" s="9">
        <v>85.714285714285694</v>
      </c>
      <c r="F38" s="9">
        <v>0</v>
      </c>
      <c r="G38" s="9">
        <v>57.142857142857103</v>
      </c>
      <c r="H38" s="10">
        <f>AVERAGE(B38:E38)</f>
        <v>71.428571428571388</v>
      </c>
      <c r="I38" s="8" t="s">
        <v>75</v>
      </c>
      <c r="J38" s="10">
        <f>AVERAGE(C38:F38)</f>
        <v>57.142857142857125</v>
      </c>
      <c r="K38" s="8" t="s">
        <v>75</v>
      </c>
    </row>
    <row r="39" spans="1:11" x14ac:dyDescent="0.2">
      <c r="A39" s="8" t="s">
        <v>18</v>
      </c>
      <c r="B39" s="9">
        <v>57.142857142857103</v>
      </c>
      <c r="C39" s="9">
        <v>71.428571428571402</v>
      </c>
      <c r="D39" s="9">
        <v>71.428571428571402</v>
      </c>
      <c r="E39" s="9">
        <v>85.714285714285694</v>
      </c>
      <c r="F39" s="9">
        <v>0</v>
      </c>
      <c r="G39" s="9">
        <v>57.142857142857103</v>
      </c>
      <c r="H39" s="10">
        <f>AVERAGE(B39:E39)</f>
        <v>71.428571428571388</v>
      </c>
      <c r="I39" s="8" t="s">
        <v>72</v>
      </c>
      <c r="J39" s="10">
        <f>AVERAGE(C39:F39)</f>
        <v>57.142857142857125</v>
      </c>
      <c r="K39" s="8" t="s">
        <v>72</v>
      </c>
    </row>
    <row r="40" spans="1:11" x14ac:dyDescent="0.2">
      <c r="A40" s="8" t="s">
        <v>21</v>
      </c>
      <c r="B40" s="9">
        <v>57.142857142857103</v>
      </c>
      <c r="C40" s="9">
        <v>64.285714285714207</v>
      </c>
      <c r="D40" s="9">
        <v>71.428571428571402</v>
      </c>
      <c r="E40" s="9">
        <v>85.714285714285694</v>
      </c>
      <c r="F40" s="9">
        <v>0</v>
      </c>
      <c r="G40" s="9">
        <v>55.714285714285701</v>
      </c>
      <c r="H40" s="10">
        <f>AVERAGE(B40:E40)</f>
        <v>69.64285714285711</v>
      </c>
      <c r="I40" s="8" t="s">
        <v>73</v>
      </c>
      <c r="J40" s="10">
        <f>AVERAGE(C40:F40)</f>
        <v>55.357142857142826</v>
      </c>
      <c r="K40" s="8" t="s">
        <v>73</v>
      </c>
    </row>
    <row r="41" spans="1:11" x14ac:dyDescent="0.2">
      <c r="A41" s="8" t="s">
        <v>22</v>
      </c>
      <c r="B41" s="9">
        <v>50</v>
      </c>
      <c r="C41" s="9">
        <v>64.285714285714207</v>
      </c>
      <c r="D41" s="9">
        <v>71.428571428571402</v>
      </c>
      <c r="E41" s="9">
        <v>85.714285714285694</v>
      </c>
      <c r="F41" s="9">
        <v>0</v>
      </c>
      <c r="G41" s="9">
        <v>54.285714285714199</v>
      </c>
      <c r="H41" s="10">
        <f>AVERAGE(B41:E41)</f>
        <v>67.857142857142833</v>
      </c>
      <c r="I41" s="8" t="s">
        <v>67</v>
      </c>
      <c r="J41" s="10">
        <f>AVERAGE(C41:F41)</f>
        <v>55.357142857142826</v>
      </c>
      <c r="K41" s="8" t="s">
        <v>67</v>
      </c>
    </row>
    <row r="42" spans="1:11" x14ac:dyDescent="0.2">
      <c r="A42" s="8" t="s">
        <v>40</v>
      </c>
      <c r="B42" s="9">
        <v>0</v>
      </c>
      <c r="C42" s="9">
        <v>42.857142857142797</v>
      </c>
      <c r="D42" s="9">
        <v>71.428571428571402</v>
      </c>
      <c r="E42" s="9">
        <v>85.714285714285694</v>
      </c>
      <c r="F42" s="9">
        <v>0</v>
      </c>
      <c r="G42" s="9">
        <v>40</v>
      </c>
      <c r="H42" s="10">
        <f>AVERAGE(B42:E42)</f>
        <v>49.999999999999972</v>
      </c>
      <c r="I42" s="8" t="s">
        <v>71</v>
      </c>
      <c r="J42" s="10">
        <f>AVERAGE(C42:F42)</f>
        <v>49.999999999999972</v>
      </c>
      <c r="K42" s="8" t="s">
        <v>71</v>
      </c>
    </row>
    <row r="43" spans="1:11" x14ac:dyDescent="0.2">
      <c r="A43" s="5" t="s">
        <v>41</v>
      </c>
      <c r="B43" s="6">
        <v>7.1428571428571397</v>
      </c>
      <c r="C43" s="6">
        <v>28.571428571428498</v>
      </c>
      <c r="D43" s="6">
        <v>71.428571428571402</v>
      </c>
      <c r="E43" s="6">
        <v>85.714285714285694</v>
      </c>
      <c r="F43" s="6">
        <v>0</v>
      </c>
      <c r="G43" s="6">
        <v>38.571428571428498</v>
      </c>
      <c r="H43" s="7">
        <f>AVERAGE(B43:E43)</f>
        <v>48.21428571428568</v>
      </c>
      <c r="I43" s="7"/>
      <c r="J43" s="7">
        <f>AVERAGE(C43:F43)</f>
        <v>46.428571428571402</v>
      </c>
    </row>
    <row r="44" spans="1:11" x14ac:dyDescent="0.2">
      <c r="A44" s="5" t="s">
        <v>43</v>
      </c>
      <c r="B44" s="6">
        <v>7.1428571428571397</v>
      </c>
      <c r="C44" s="6">
        <v>28.571428571428498</v>
      </c>
      <c r="D44" s="6">
        <v>57.142857142857103</v>
      </c>
      <c r="E44" s="6">
        <v>85.714285714285694</v>
      </c>
      <c r="F44" s="6">
        <v>0</v>
      </c>
      <c r="G44" s="6">
        <v>35.714285714285701</v>
      </c>
      <c r="H44" s="7">
        <f>AVERAGE(B44:E44)</f>
        <v>44.64285714285711</v>
      </c>
      <c r="I44" s="7"/>
      <c r="J44" s="7">
        <f>AVERAGE(C44:F44)</f>
        <v>42.857142857142826</v>
      </c>
    </row>
    <row r="45" spans="1:11" x14ac:dyDescent="0.2">
      <c r="A45" s="11" t="s">
        <v>24</v>
      </c>
      <c r="B45" s="12">
        <v>64.285714285714207</v>
      </c>
      <c r="C45" s="12">
        <v>57.142857142857103</v>
      </c>
      <c r="D45" s="12">
        <v>50</v>
      </c>
      <c r="E45" s="12">
        <v>85.714285714285694</v>
      </c>
      <c r="F45" s="12">
        <v>0</v>
      </c>
      <c r="G45" s="12">
        <v>51.428571428571402</v>
      </c>
      <c r="H45" s="13">
        <f>AVERAGE(B45:E45)</f>
        <v>64.285714285714249</v>
      </c>
      <c r="I45" s="8" t="s">
        <v>69</v>
      </c>
      <c r="J45" s="13">
        <f>AVERAGE(C45:F45)</f>
        <v>48.214285714285701</v>
      </c>
      <c r="K45" s="8"/>
    </row>
    <row r="46" spans="1:11" x14ac:dyDescent="0.2">
      <c r="A46" s="5" t="s">
        <v>46</v>
      </c>
      <c r="B46" s="6">
        <v>7.1428571428571397</v>
      </c>
      <c r="C46" s="6">
        <v>21.428571428571399</v>
      </c>
      <c r="D46" s="6">
        <v>50</v>
      </c>
      <c r="E46" s="6">
        <v>85.714285714285694</v>
      </c>
      <c r="F46" s="6">
        <v>0</v>
      </c>
      <c r="G46" s="6">
        <v>32.857142857142797</v>
      </c>
      <c r="H46" s="7">
        <f>AVERAGE(B46:E46)</f>
        <v>41.071428571428555</v>
      </c>
      <c r="I46" s="7"/>
      <c r="J46" s="7">
        <f>AVERAGE(C46:F46)</f>
        <v>39.285714285714278</v>
      </c>
    </row>
    <row r="47" spans="1:11" x14ac:dyDescent="0.2">
      <c r="A47" s="5" t="s">
        <v>52</v>
      </c>
      <c r="B47" s="6">
        <v>0</v>
      </c>
      <c r="C47" s="6">
        <v>0</v>
      </c>
      <c r="D47" s="6">
        <v>50</v>
      </c>
      <c r="E47" s="6">
        <v>85.714285714285694</v>
      </c>
      <c r="F47" s="6">
        <v>0</v>
      </c>
      <c r="G47" s="6">
        <v>27.1428571428571</v>
      </c>
      <c r="H47" s="7">
        <f>AVERAGE(B47:E47)</f>
        <v>33.928571428571423</v>
      </c>
      <c r="I47" s="7"/>
      <c r="J47" s="7">
        <f>AVERAGE(C47:F47)</f>
        <v>33.928571428571423</v>
      </c>
    </row>
    <row r="48" spans="1:11" x14ac:dyDescent="0.2">
      <c r="A48" s="11" t="s">
        <v>36</v>
      </c>
      <c r="B48" s="12">
        <v>42.857142857142797</v>
      </c>
      <c r="C48" s="12">
        <v>35.714285714285701</v>
      </c>
      <c r="D48" s="12">
        <v>42.857142857142797</v>
      </c>
      <c r="E48" s="12">
        <v>85.714285714285694</v>
      </c>
      <c r="F48" s="12">
        <v>0</v>
      </c>
      <c r="G48" s="12">
        <v>41.428571428571402</v>
      </c>
      <c r="H48" s="13">
        <f>AVERAGE(B48:E48)</f>
        <v>51.785714285714249</v>
      </c>
      <c r="I48" s="8" t="s">
        <v>72</v>
      </c>
      <c r="J48" s="13">
        <f>AVERAGE(C48:F48)</f>
        <v>41.071428571428548</v>
      </c>
      <c r="K48" s="8"/>
    </row>
    <row r="49" spans="1:11" x14ac:dyDescent="0.2">
      <c r="A49" s="11" t="s">
        <v>25</v>
      </c>
      <c r="B49" s="12">
        <v>64.285714285714207</v>
      </c>
      <c r="C49" s="12">
        <v>64.285714285714207</v>
      </c>
      <c r="D49" s="12">
        <v>35.714285714285701</v>
      </c>
      <c r="E49" s="12">
        <v>85.714285714285694</v>
      </c>
      <c r="F49" s="12">
        <v>0</v>
      </c>
      <c r="G49" s="12">
        <v>50</v>
      </c>
      <c r="H49" s="13">
        <f>AVERAGE(B49:E49)</f>
        <v>62.49999999999995</v>
      </c>
      <c r="I49" s="8" t="s">
        <v>66</v>
      </c>
      <c r="J49" s="13">
        <f>AVERAGE(C49:F49)</f>
        <v>46.428571428571402</v>
      </c>
      <c r="K49" s="8"/>
    </row>
    <row r="50" spans="1:11" x14ac:dyDescent="0.2">
      <c r="A50" s="5" t="s">
        <v>53</v>
      </c>
      <c r="B50" s="6">
        <v>0</v>
      </c>
      <c r="C50" s="6">
        <v>0</v>
      </c>
      <c r="D50" s="6">
        <v>0</v>
      </c>
      <c r="E50" s="6">
        <v>85.714285714285694</v>
      </c>
      <c r="F50" s="6">
        <v>0</v>
      </c>
      <c r="G50" s="6">
        <v>17.1428571428571</v>
      </c>
      <c r="H50" s="7">
        <f>AVERAGE(B50:E50)</f>
        <v>21.428571428571423</v>
      </c>
      <c r="I50" s="7"/>
      <c r="J50" s="7">
        <f>AVERAGE(C50:F50)</f>
        <v>21.428571428571423</v>
      </c>
    </row>
    <row r="51" spans="1:11" x14ac:dyDescent="0.2">
      <c r="A51" s="5" t="s">
        <v>54</v>
      </c>
      <c r="B51" s="6">
        <v>0</v>
      </c>
      <c r="C51" s="6">
        <v>0</v>
      </c>
      <c r="D51" s="6">
        <v>0</v>
      </c>
      <c r="E51" s="6">
        <v>85.714285714285694</v>
      </c>
      <c r="F51" s="6">
        <v>0</v>
      </c>
      <c r="G51" s="6">
        <v>17.1428571428571</v>
      </c>
      <c r="H51" s="7">
        <f>AVERAGE(B51:E51)</f>
        <v>21.428571428571423</v>
      </c>
      <c r="I51" s="7"/>
      <c r="J51" s="7">
        <f>AVERAGE(C51:F51)</f>
        <v>21.428571428571423</v>
      </c>
    </row>
    <row r="52" spans="1:11" x14ac:dyDescent="0.2">
      <c r="A52" s="5" t="s">
        <v>42</v>
      </c>
      <c r="B52" s="6">
        <v>64.285714285714207</v>
      </c>
      <c r="C52" s="6">
        <v>7.1428571428571397</v>
      </c>
      <c r="D52" s="6">
        <v>42.857142857142797</v>
      </c>
      <c r="E52" s="6">
        <v>78.571428571428498</v>
      </c>
      <c r="F52" s="6">
        <v>0</v>
      </c>
      <c r="G52" s="6">
        <v>38.571428571428498</v>
      </c>
      <c r="H52" s="7">
        <f>AVERAGE(B52:E52)</f>
        <v>48.214285714285658</v>
      </c>
      <c r="I52" s="7"/>
      <c r="J52" s="7">
        <f>AVERAGE(C52:F52)</f>
        <v>32.14285714285711</v>
      </c>
    </row>
    <row r="53" spans="1:11" x14ac:dyDescent="0.2">
      <c r="A53" s="11" t="s">
        <v>35</v>
      </c>
      <c r="B53" s="12">
        <v>50</v>
      </c>
      <c r="C53" s="12">
        <v>42.857142857142797</v>
      </c>
      <c r="D53" s="12">
        <v>35.714285714285701</v>
      </c>
      <c r="E53" s="12">
        <v>78.571428571428498</v>
      </c>
      <c r="F53" s="12">
        <v>0</v>
      </c>
      <c r="G53" s="12">
        <v>41.428571428571402</v>
      </c>
      <c r="H53" s="13">
        <f>AVERAGE(B53:E53)</f>
        <v>51.785714285714249</v>
      </c>
      <c r="I53" s="8" t="s">
        <v>69</v>
      </c>
      <c r="J53" s="13">
        <f>AVERAGE(C53:F53)</f>
        <v>39.285714285714249</v>
      </c>
      <c r="K53" s="8"/>
    </row>
    <row r="54" spans="1:11" x14ac:dyDescent="0.2">
      <c r="A54" s="5" t="s">
        <v>44</v>
      </c>
      <c r="B54" s="6">
        <v>35.714285714285701</v>
      </c>
      <c r="C54" s="6">
        <v>35.714285714285701</v>
      </c>
      <c r="D54" s="6">
        <v>28.571428571428498</v>
      </c>
      <c r="E54" s="6">
        <v>71.428571428571402</v>
      </c>
      <c r="F54" s="6">
        <v>0</v>
      </c>
      <c r="G54" s="6">
        <v>34.285714285714199</v>
      </c>
      <c r="H54" s="7">
        <f>AVERAGE(B54:E54)</f>
        <v>42.857142857142826</v>
      </c>
      <c r="I54" s="7"/>
      <c r="J54" s="7">
        <f>AVERAGE(C54:F54)</f>
        <v>33.928571428571402</v>
      </c>
    </row>
    <row r="55" spans="1:11" x14ac:dyDescent="0.2">
      <c r="A55" s="5" t="s">
        <v>47</v>
      </c>
      <c r="B55" s="6">
        <v>0</v>
      </c>
      <c r="C55" s="6">
        <v>21.428571428571399</v>
      </c>
      <c r="D55" s="6">
        <v>71.428571428571402</v>
      </c>
      <c r="E55" s="6">
        <v>64.285714285714207</v>
      </c>
      <c r="F55" s="6">
        <v>0</v>
      </c>
      <c r="G55" s="6">
        <v>31.428571428571399</v>
      </c>
      <c r="H55" s="7">
        <f>AVERAGE(B55:E55)</f>
        <v>39.285714285714249</v>
      </c>
      <c r="I55" s="7"/>
      <c r="J55" s="7">
        <f>AVERAGE(C55:F55)</f>
        <v>39.285714285714249</v>
      </c>
    </row>
    <row r="56" spans="1:11" x14ac:dyDescent="0.2">
      <c r="A56" s="5" t="s">
        <v>49</v>
      </c>
      <c r="B56" s="6">
        <v>21.428571428571399</v>
      </c>
      <c r="C56" s="6">
        <v>35.714285714285701</v>
      </c>
      <c r="D56" s="6">
        <v>28.571428571428498</v>
      </c>
      <c r="E56" s="6">
        <v>64.285714285714207</v>
      </c>
      <c r="F56" s="6">
        <v>0</v>
      </c>
      <c r="G56" s="6">
        <v>30</v>
      </c>
      <c r="H56" s="7">
        <f>AVERAGE(B56:E56)</f>
        <v>37.49999999999995</v>
      </c>
      <c r="I56" s="7"/>
      <c r="J56" s="7">
        <f>AVERAGE(C56:F56)</f>
        <v>32.142857142857096</v>
      </c>
    </row>
    <row r="57" spans="1:11" x14ac:dyDescent="0.2">
      <c r="A57" s="5" t="s">
        <v>60</v>
      </c>
      <c r="B57" s="6">
        <v>14.285714285714199</v>
      </c>
      <c r="C57" s="6">
        <v>0</v>
      </c>
      <c r="D57" s="6">
        <v>7.1428571428571397</v>
      </c>
      <c r="E57" s="6">
        <v>14.285714285714199</v>
      </c>
      <c r="F57" s="6">
        <v>0</v>
      </c>
      <c r="G57" s="6">
        <v>7.1428571428571397</v>
      </c>
      <c r="H57" s="7">
        <f>AVERAGE(B57:E57)</f>
        <v>8.9285714285713844</v>
      </c>
      <c r="I57" s="7"/>
      <c r="J57" s="7">
        <f>AVERAGE(C57:F57)</f>
        <v>5.3571428571428346</v>
      </c>
    </row>
    <row r="58" spans="1:11" x14ac:dyDescent="0.2">
      <c r="A58" s="5" t="s">
        <v>55</v>
      </c>
      <c r="B58" s="6">
        <v>71.428571428571402</v>
      </c>
      <c r="C58" s="6">
        <v>0</v>
      </c>
      <c r="D58" s="6">
        <v>0</v>
      </c>
      <c r="E58" s="6">
        <v>14.285714285714199</v>
      </c>
      <c r="F58" s="6">
        <v>0</v>
      </c>
      <c r="G58" s="6">
        <v>17.1428571428571</v>
      </c>
      <c r="H58" s="7">
        <f>AVERAGE(B58:E58)</f>
        <v>21.428571428571402</v>
      </c>
      <c r="I58" s="7"/>
      <c r="J58" s="7">
        <f>AVERAGE(C58:F58)</f>
        <v>3.5714285714285499</v>
      </c>
    </row>
    <row r="59" spans="1:11" x14ac:dyDescent="0.2">
      <c r="A59" s="5" t="s">
        <v>45</v>
      </c>
      <c r="B59" s="6">
        <v>71.428571428571402</v>
      </c>
      <c r="C59" s="6">
        <v>71.428571428571402</v>
      </c>
      <c r="D59" s="6">
        <v>28.571428571428498</v>
      </c>
      <c r="E59" s="6">
        <v>0</v>
      </c>
      <c r="F59" s="6">
        <v>0</v>
      </c>
      <c r="G59" s="6">
        <v>34.285714285714199</v>
      </c>
      <c r="H59" s="7">
        <f>AVERAGE(B59:E59)</f>
        <v>42.857142857142826</v>
      </c>
      <c r="I59" s="7"/>
      <c r="J59" s="7">
        <f>AVERAGE(C59:F59)</f>
        <v>24.999999999999975</v>
      </c>
    </row>
    <row r="60" spans="1:11" x14ac:dyDescent="0.2">
      <c r="A60" s="5" t="s">
        <v>51</v>
      </c>
      <c r="B60" s="6">
        <v>57.142857142857103</v>
      </c>
      <c r="C60" s="6">
        <v>64.285714285714207</v>
      </c>
      <c r="D60" s="6">
        <v>21.428571428571399</v>
      </c>
      <c r="E60" s="6">
        <v>0</v>
      </c>
      <c r="F60" s="6">
        <v>0</v>
      </c>
      <c r="G60" s="6">
        <v>28.571428571428498</v>
      </c>
      <c r="H60" s="7">
        <f>AVERAGE(B60:E60)</f>
        <v>35.714285714285673</v>
      </c>
      <c r="I60" s="7"/>
      <c r="J60" s="7">
        <f>AVERAGE(C60:F60)</f>
        <v>21.428571428571402</v>
      </c>
    </row>
    <row r="61" spans="1:11" x14ac:dyDescent="0.2">
      <c r="A61" s="5" t="s">
        <v>58</v>
      </c>
      <c r="B61" s="6">
        <v>71.428571428571402</v>
      </c>
      <c r="C61" s="6">
        <v>0</v>
      </c>
      <c r="D61" s="6">
        <v>0</v>
      </c>
      <c r="E61" s="6">
        <v>0</v>
      </c>
      <c r="F61" s="6">
        <v>0</v>
      </c>
      <c r="G61" s="6">
        <v>14.285714285714199</v>
      </c>
      <c r="H61" s="7">
        <f>AVERAGE(B61:E61)</f>
        <v>17.857142857142851</v>
      </c>
      <c r="I61" s="7"/>
      <c r="J61" s="7">
        <v>0</v>
      </c>
    </row>
    <row r="62" spans="1:11" x14ac:dyDescent="0.2">
      <c r="B62" s="3">
        <f>AVERAGE(B2:B61)</f>
        <v>34.761904761904731</v>
      </c>
      <c r="C62" s="3">
        <f>AVERAGE(C2:C61)</f>
        <v>41.547619047619023</v>
      </c>
      <c r="D62" s="3">
        <f>AVERAGE(D2:D61)</f>
        <v>55.476190476190453</v>
      </c>
      <c r="E62" s="3">
        <f>AVERAGE(E2:E61)</f>
        <v>72.976190476190453</v>
      </c>
      <c r="F62" s="3">
        <f>AVERAGE(F2:F61)</f>
        <v>26.66666666666665</v>
      </c>
      <c r="G62" s="3">
        <f>AVERAGE(G2:G61)</f>
        <v>46.285714285714242</v>
      </c>
      <c r="H62" s="26">
        <f>AVERAGE(H2:H61)</f>
        <v>51.190476190476168</v>
      </c>
      <c r="I62" s="3"/>
      <c r="J62" s="3">
        <f>AVERAGE(J2:J61)</f>
        <v>49.166666666666643</v>
      </c>
      <c r="K62" s="4" t="s">
        <v>64</v>
      </c>
    </row>
    <row r="63" spans="1:11" x14ac:dyDescent="0.2">
      <c r="D63" s="30">
        <v>40</v>
      </c>
      <c r="E63" s="30">
        <v>52</v>
      </c>
      <c r="F63" s="3">
        <v>18</v>
      </c>
      <c r="G63" s="3">
        <v>26</v>
      </c>
      <c r="H63" s="4">
        <v>49</v>
      </c>
      <c r="I63" s="4"/>
      <c r="J63" s="27">
        <v>54</v>
      </c>
      <c r="K63" s="4" t="s">
        <v>65</v>
      </c>
    </row>
    <row r="64" spans="1:11" x14ac:dyDescent="0.2">
      <c r="G64" s="3"/>
      <c r="H64" s="4"/>
      <c r="I64" s="4"/>
      <c r="J64" s="4"/>
      <c r="K64" t="s">
        <v>88</v>
      </c>
    </row>
    <row r="65" spans="8:11" x14ac:dyDescent="0.2">
      <c r="H65" s="27">
        <v>8</v>
      </c>
      <c r="I65" s="14"/>
      <c r="J65" s="4">
        <v>5</v>
      </c>
      <c r="K65" t="s">
        <v>80</v>
      </c>
    </row>
    <row r="66" spans="8:11" x14ac:dyDescent="0.2">
      <c r="H66" s="4">
        <v>8</v>
      </c>
      <c r="I66" s="14"/>
      <c r="J66" s="27">
        <f>8+J65</f>
        <v>13</v>
      </c>
      <c r="K66" t="s">
        <v>81</v>
      </c>
    </row>
    <row r="67" spans="8:11" x14ac:dyDescent="0.2">
      <c r="H67" s="28">
        <v>23</v>
      </c>
      <c r="I67" s="16"/>
      <c r="J67" s="15">
        <v>14</v>
      </c>
      <c r="K67" s="15" t="s">
        <v>82</v>
      </c>
    </row>
    <row r="68" spans="8:11" x14ac:dyDescent="0.2">
      <c r="H68" s="25">
        <v>0</v>
      </c>
      <c r="I68" s="25"/>
      <c r="J68" s="25">
        <v>0</v>
      </c>
      <c r="K68" t="s">
        <v>89</v>
      </c>
    </row>
    <row r="69" spans="8:11" x14ac:dyDescent="0.2">
      <c r="H69" s="29">
        <v>5</v>
      </c>
      <c r="I69" s="25"/>
      <c r="J69" s="25">
        <v>0</v>
      </c>
      <c r="K69" t="s">
        <v>90</v>
      </c>
    </row>
    <row r="70" spans="8:11" x14ac:dyDescent="0.2">
      <c r="H70" s="29">
        <v>8</v>
      </c>
      <c r="I70" s="25"/>
      <c r="J70" s="25">
        <v>7</v>
      </c>
      <c r="K70" t="s">
        <v>91</v>
      </c>
    </row>
  </sheetData>
  <sortState xmlns:xlrd2="http://schemas.microsoft.com/office/spreadsheetml/2017/richdata2" ref="A2:K61">
    <sortCondition descending="1" ref="F2:F61"/>
  </sortState>
  <pageMargins left="0.75" right="0.75" top="1" bottom="1" header="0.5" footer="0.5"/>
</worksheet>
</file>